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e991b58d3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招募执行表" sheetId="1" r:id="R563d3a88c39141b5"/>
    <x:sheet xmlns:r="http://schemas.openxmlformats.org/officeDocument/2006/relationships" name="配额与覆盖" sheetId="2" r:id="Raebf6bb260054ed1"/>
    <x:sheet xmlns:r="http://schemas.openxmlformats.org/officeDocument/2006/relationships" name="填写说明" sheetId="3" r:id="R14d521727035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Microsoft YaHei"/>
    </x:font>
    <x:font>
      <x:sz val="10"/>
      <x:color rgb="FF4B5563"/>
      <x:name val="Microsoft YaHei"/>
    </x:font>
    <x:font>
      <x:b/>
      <x:sz val="10"/>
      <x:color rgb="FF1F4E7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451eac37e4745" /><Relationship Type="http://schemas.openxmlformats.org/officeDocument/2006/relationships/theme" Target="/xl/theme/theme1.xml" Id="R04cb69c3379a42e5" /><Relationship Type="http://schemas.openxmlformats.org/officeDocument/2006/relationships/sharedStrings" Target="/xl/sharedStrings.xml" Id="R7750bca22b164f57" /><Relationship Type="http://schemas.openxmlformats.org/officeDocument/2006/relationships/worksheet" Target="/xl/worksheets/sheet1.xml" Id="R563d3a88c39141b5" /><Relationship Type="http://schemas.openxmlformats.org/officeDocument/2006/relationships/worksheet" Target="/xl/worksheets/sheet2.xml" Id="Raebf6bb260054ed1" /><Relationship Type="http://schemas.openxmlformats.org/officeDocument/2006/relationships/worksheet" Target="/xl/worksheets/sheet3.xml" Id="R14d5217270354635" /></Relationships>
</file>

<file path=xl/tables/table1.xml><?xml version="1.0" encoding="utf-8"?>
<x:table xmlns:x="http://schemas.openxmlformats.org/spreadsheetml/2006/main" id="1" name="RecruitmentTable" displayName="RecruitmentTable" ref="A4:T19" headerRowCount="1" totalsRowCount="0" totalsRowShown="0">
  <x:tableColumns count="20">
    <x:tableColumn id="1" name="候选人编号"/>
    <x:tableColumn id="2" name="用户类型"/>
    <x:tableColumn id="3" name="配额组"/>
    <x:tableColumn id="4" name="筛选条件"/>
    <x:tableColumn id="5" name="主要阅读场景"/>
    <x:tableColumn id="6" name="每周阅读频率"/>
    <x:tableColumn id="7" name="常见文档类型"/>
    <x:tableColumn id="8" name="最近一次典型阅读任务"/>
    <x:tableColumn id="9" name="是否符合招募条件"/>
    <x:tableColumn id="10" name="联系状态"/>
    <x:tableColumn id="11" name="是否同意访谈记录"/>
    <x:tableColumn id="12" name="是否同意参加原型测试"/>
    <x:tableColumn id="13" name="是否能提供经授权文档样本"/>
    <x:tableColumn id="14" name="计划访谈日期"/>
    <x:tableColumn id="15" name="计划测试日期"/>
    <x:tableColumn id="16" name="访谈完成状态"/>
    <x:tableColumn id="17" name="原型测试完成状态"/>
    <x:tableColumn id="18" name="记录文件编号"/>
    <x:tableColumn id="19" name="联系方式存放位置"/>
    <x:tableColumn id="20" name="项目组内部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6c846464664ee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16" hidden="0" customWidth="1"/>
    <x:col min="7" max="7" width="22" hidden="0" customWidth="1"/>
    <x:col min="8" max="8" width="34" hidden="0" customWidth="1"/>
    <x:col min="9" max="9" width="16" hidden="0" customWidth="1"/>
    <x:col min="10" max="10" width="14" hidden="0" customWidth="1"/>
    <x:col min="11" max="11" width="18" hidden="0" customWidth="1"/>
    <x:col min="12" max="12" width="20" hidden="0" customWidth="1"/>
    <x:col min="13" max="13" width="22" hidden="0" customWidth="1"/>
    <x:col min="14" max="14" width="16" hidden="0" customWidth="1"/>
    <x:col min="15" max="15" width="16" hidden="0" customWidth="1"/>
    <x:col min="16" max="16" width="18" hidden="0" customWidth="1"/>
    <x:col min="17" max="17" width="22" hidden="0" customWidth="1"/>
    <x:col min="18" max="18" width="18" hidden="0" customWidth="1"/>
    <x:col min="19" max="19" width="24" hidden="0" customWidth="1"/>
    <x:col min="20" max="20" width="28" hidden="0" customWidth="1"/>
  </x:cols>
  <x:sheetData>
    <x:row r="1" ht="30" customHeight="1">
      <x:c r="A1" s="4" t="str">
        <x:v>智能阅读器｜调研对象招募表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6" customHeight="1">
      <x:c r="A2" s="8" t="str">
        <x:v>用途：按用户类型招募访谈和原型测试对象。只填写候选人编号，不在共享表中直接记录真实手机号、邮箱或其他个人敏感信息。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38" customHeight="1">
      <x:c r="A4" s="14" t="str">
        <x:v>候选人编号</x:v>
      </x:c>
      <x:c r="B4" s="14" t="str">
        <x:v>用户类型</x:v>
      </x:c>
      <x:c r="C4" s="14" t="str">
        <x:v>配额组</x:v>
      </x:c>
      <x:c r="D4" s="14" t="str">
        <x:v>筛选条件</x:v>
      </x:c>
      <x:c r="E4" s="14" t="str">
        <x:v>主要阅读场景</x:v>
      </x:c>
      <x:c r="F4" s="14" t="str">
        <x:v>每周阅读频率</x:v>
      </x:c>
      <x:c r="G4" s="14" t="str">
        <x:v>常见文档类型</x:v>
      </x:c>
      <x:c r="H4" s="14" t="str">
        <x:v>最近一次典型阅读任务</x:v>
      </x:c>
      <x:c r="I4" s="14" t="str">
        <x:v>是否符合招募条件</x:v>
      </x:c>
      <x:c r="J4" s="14" t="str">
        <x:v>联系状态</x:v>
      </x:c>
      <x:c r="K4" s="14" t="str">
        <x:v>是否同意访谈记录</x:v>
      </x:c>
      <x:c r="L4" s="14" t="str">
        <x:v>是否同意参加原型测试</x:v>
      </x:c>
      <x:c r="M4" s="14" t="str">
        <x:v>是否能提供经授权文档样本</x:v>
      </x:c>
      <x:c r="N4" s="14" t="str">
        <x:v>计划访谈日期</x:v>
      </x:c>
      <x:c r="O4" s="14" t="str">
        <x:v>计划测试日期</x:v>
      </x:c>
      <x:c r="P4" s="14" t="str">
        <x:v>访谈完成状态</x:v>
      </x:c>
      <x:c r="Q4" s="14" t="str">
        <x:v>原型测试完成状态</x:v>
      </x:c>
      <x:c r="R4" s="14" t="str">
        <x:v>记录文件编号</x:v>
      </x:c>
      <x:c r="S4" s="14" t="str">
        <x:v>联系方式存放位置</x:v>
      </x:c>
      <x:c r="T4" s="14" t="str">
        <x:v>项目组内部备注</x:v>
      </x:c>
    </x:row>
    <x:row r="5" ht="66" customHeight="1">
      <x:c r="A5" s="17" t="str">
        <x:v>CAND-001</x:v>
      </x:c>
      <x:c r="B5" s="17" t="str">
        <x:v>学生</x:v>
      </x:c>
      <x:c r="C5" s="17" t="str">
        <x:v>学生配额</x:v>
      </x:c>
      <x:c r="D5" s="17" t="str">
        <x:v>每周阅读课程资料或论文不少于 3 次</x:v>
      </x:c>
      <x:c r="E5" s="17" t="str">
        <x:v>课程学习、论文阅读、复习</x:v>
      </x:c>
      <x:c r="F5" s="17" t="str"/>
      <x:c r="G5" s="17" t="str"/>
      <x:c r="H5" s="17" t="str"/>
      <x:c r="I5" s="17" t="str">
        <x:v>待筛选</x:v>
      </x:c>
      <x:c r="J5" s="17" t="str">
        <x:v>待联系</x:v>
      </x:c>
      <x:c r="K5" s="17" t="str">
        <x:v>待确认</x:v>
      </x:c>
      <x:c r="L5" s="17" t="str">
        <x:v>待确认</x:v>
      </x:c>
      <x:c r="M5" s="17" t="str">
        <x:v>否</x:v>
      </x:c>
      <x:c r="N5" s="17" t="str"/>
      <x:c r="O5" s="17" t="str"/>
      <x:c r="P5" s="17" t="str">
        <x:v>未完成</x:v>
      </x:c>
      <x:c r="Q5" s="17" t="str">
        <x:v>未完成</x:v>
      </x:c>
      <x:c r="R5" s="17" t="str"/>
      <x:c r="S5" s="17" t="str"/>
      <x:c r="T5" s="17" t="str"/>
    </x:row>
    <x:row r="6" ht="66" customHeight="1">
      <x:c r="A6" s="17" t="str">
        <x:v>CAND-002</x:v>
      </x:c>
      <x:c r="B6" s="17" t="str">
        <x:v>学生</x:v>
      </x:c>
      <x:c r="C6" s="17" t="str">
        <x:v>学生配额</x:v>
      </x:c>
      <x:c r="D6" s="17" t="str">
        <x:v>每周阅读课程资料或论文不少于 3 次</x:v>
      </x:c>
      <x:c r="E6" s="17" t="str">
        <x:v>课程学习、论文阅读、复习</x:v>
      </x:c>
      <x:c r="F6" s="17" t="str"/>
      <x:c r="G6" s="17" t="str"/>
      <x:c r="H6" s="17" t="str"/>
      <x:c r="I6" s="17" t="str">
        <x:v>待筛选</x:v>
      </x:c>
      <x:c r="J6" s="17" t="str">
        <x:v>待联系</x:v>
      </x:c>
      <x:c r="K6" s="17" t="str">
        <x:v>待确认</x:v>
      </x:c>
      <x:c r="L6" s="17" t="str">
        <x:v>待确认</x:v>
      </x:c>
      <x:c r="M6" s="17" t="str">
        <x:v>否</x:v>
      </x:c>
      <x:c r="N6" s="17" t="str"/>
      <x:c r="O6" s="17" t="str"/>
      <x:c r="P6" s="17" t="str">
        <x:v>未完成</x:v>
      </x:c>
      <x:c r="Q6" s="17" t="str">
        <x:v>未完成</x:v>
      </x:c>
      <x:c r="R6" s="17" t="str"/>
      <x:c r="S6" s="17" t="str"/>
      <x:c r="T6" s="17" t="str"/>
    </x:row>
    <x:row r="7" ht="66" customHeight="1">
      <x:c r="A7" s="17" t="str">
        <x:v>CAND-003</x:v>
      </x:c>
      <x:c r="B7" s="17" t="str">
        <x:v>学生</x:v>
      </x:c>
      <x:c r="C7" s="17" t="str">
        <x:v>学生配额</x:v>
      </x:c>
      <x:c r="D7" s="17" t="str">
        <x:v>每周阅读课程资料或论文不少于 3 次</x:v>
      </x:c>
      <x:c r="E7" s="17" t="str">
        <x:v>课程学习、论文阅读、复习</x:v>
      </x:c>
      <x:c r="F7" s="17" t="str"/>
      <x:c r="G7" s="17" t="str"/>
      <x:c r="H7" s="17" t="str"/>
      <x:c r="I7" s="17" t="str">
        <x:v>待筛选</x:v>
      </x:c>
      <x:c r="J7" s="17" t="str">
        <x:v>待联系</x:v>
      </x:c>
      <x:c r="K7" s="17" t="str">
        <x:v>待确认</x:v>
      </x:c>
      <x:c r="L7" s="17" t="str">
        <x:v>待确认</x:v>
      </x:c>
      <x:c r="M7" s="17" t="str">
        <x:v>否</x:v>
      </x:c>
      <x:c r="N7" s="17" t="str"/>
      <x:c r="O7" s="17" t="str"/>
      <x:c r="P7" s="17" t="str">
        <x:v>未完成</x:v>
      </x:c>
      <x:c r="Q7" s="17" t="str">
        <x:v>未完成</x:v>
      </x:c>
      <x:c r="R7" s="17" t="str"/>
      <x:c r="S7" s="17" t="str"/>
      <x:c r="T7" s="17" t="str"/>
    </x:row>
    <x:row r="8" ht="66" customHeight="1">
      <x:c r="A8" s="17" t="str">
        <x:v>CAND-004</x:v>
      </x:c>
      <x:c r="B8" s="17" t="str">
        <x:v>学生</x:v>
      </x:c>
      <x:c r="C8" s="17" t="str">
        <x:v>学生配额</x:v>
      </x:c>
      <x:c r="D8" s="17" t="str">
        <x:v>每周阅读课程资料或论文不少于 3 次</x:v>
      </x:c>
      <x:c r="E8" s="17" t="str">
        <x:v>课程学习、论文阅读、复习</x:v>
      </x:c>
      <x:c r="F8" s="17" t="str"/>
      <x:c r="G8" s="17" t="str"/>
      <x:c r="H8" s="17" t="str"/>
      <x:c r="I8" s="17" t="str">
        <x:v>待筛选</x:v>
      </x:c>
      <x:c r="J8" s="17" t="str">
        <x:v>待联系</x:v>
      </x:c>
      <x:c r="K8" s="17" t="str">
        <x:v>待确认</x:v>
      </x:c>
      <x:c r="L8" s="17" t="str">
        <x:v>待确认</x:v>
      </x:c>
      <x:c r="M8" s="17" t="str">
        <x:v>否</x:v>
      </x:c>
      <x:c r="N8" s="17" t="str"/>
      <x:c r="O8" s="17" t="str"/>
      <x:c r="P8" s="17" t="str">
        <x:v>未完成</x:v>
      </x:c>
      <x:c r="Q8" s="17" t="str">
        <x:v>未完成</x:v>
      </x:c>
      <x:c r="R8" s="17" t="str"/>
      <x:c r="S8" s="17" t="str"/>
      <x:c r="T8" s="17" t="str"/>
    </x:row>
    <x:row r="9" ht="66" customHeight="1">
      <x:c r="A9" s="17" t="str">
        <x:v>CAND-005</x:v>
      </x:c>
      <x:c r="B9" s="17" t="str">
        <x:v>教师</x:v>
      </x:c>
      <x:c r="C9" s="17" t="str">
        <x:v>教师配额</x:v>
      </x:c>
      <x:c r="D9" s="17" t="str">
        <x:v>经常阅读、整理或分发课程资料</x:v>
      </x:c>
      <x:c r="E9" s="17" t="str">
        <x:v>备课、授课、资料整理</x:v>
      </x:c>
      <x:c r="F9" s="17" t="str"/>
      <x:c r="G9" s="17" t="str"/>
      <x:c r="H9" s="17" t="str"/>
      <x:c r="I9" s="17" t="str">
        <x:v>待筛选</x:v>
      </x:c>
      <x:c r="J9" s="17" t="str">
        <x:v>待联系</x:v>
      </x:c>
      <x:c r="K9" s="17" t="str">
        <x:v>待确认</x:v>
      </x:c>
      <x:c r="L9" s="17" t="str">
        <x:v>待确认</x:v>
      </x:c>
      <x:c r="M9" s="17" t="str">
        <x:v>否</x:v>
      </x:c>
      <x:c r="N9" s="17" t="str"/>
      <x:c r="O9" s="17" t="str"/>
      <x:c r="P9" s="17" t="str">
        <x:v>未完成</x:v>
      </x:c>
      <x:c r="Q9" s="17" t="str">
        <x:v>未完成</x:v>
      </x:c>
      <x:c r="R9" s="17" t="str"/>
      <x:c r="S9" s="17" t="str"/>
      <x:c r="T9" s="17" t="str"/>
    </x:row>
    <x:row r="10" ht="66" customHeight="1">
      <x:c r="A10" s="17" t="str">
        <x:v>CAND-006</x:v>
      </x:c>
      <x:c r="B10" s="17" t="str">
        <x:v>教师</x:v>
      </x:c>
      <x:c r="C10" s="17" t="str">
        <x:v>教师配额</x:v>
      </x:c>
      <x:c r="D10" s="17" t="str">
        <x:v>经常阅读、整理或分发课程资料</x:v>
      </x:c>
      <x:c r="E10" s="17" t="str">
        <x:v>备课、授课、资料整理</x:v>
      </x:c>
      <x:c r="F10" s="17" t="str"/>
      <x:c r="G10" s="17" t="str"/>
      <x:c r="H10" s="17" t="str"/>
      <x:c r="I10" s="17" t="str">
        <x:v>待筛选</x:v>
      </x:c>
      <x:c r="J10" s="17" t="str">
        <x:v>待联系</x:v>
      </x:c>
      <x:c r="K10" s="17" t="str">
        <x:v>待确认</x:v>
      </x:c>
      <x:c r="L10" s="17" t="str">
        <x:v>待确认</x:v>
      </x:c>
      <x:c r="M10" s="17" t="str">
        <x:v>否</x:v>
      </x:c>
      <x:c r="N10" s="17" t="str"/>
      <x:c r="O10" s="17" t="str"/>
      <x:c r="P10" s="17" t="str">
        <x:v>未完成</x:v>
      </x:c>
      <x:c r="Q10" s="17" t="str">
        <x:v>未完成</x:v>
      </x:c>
      <x:c r="R10" s="17" t="str"/>
      <x:c r="S10" s="17" t="str"/>
      <x:c r="T10" s="17" t="str"/>
    </x:row>
    <x:row r="11" ht="66" customHeight="1">
      <x:c r="A11" s="17" t="str">
        <x:v>CAND-007</x:v>
      </x:c>
      <x:c r="B11" s="17" t="str">
        <x:v>教师</x:v>
      </x:c>
      <x:c r="C11" s="17" t="str">
        <x:v>教师配额</x:v>
      </x:c>
      <x:c r="D11" s="17" t="str">
        <x:v>经常阅读、整理或分发课程资料</x:v>
      </x:c>
      <x:c r="E11" s="17" t="str">
        <x:v>备课、授课、资料整理</x:v>
      </x:c>
      <x:c r="F11" s="17" t="str"/>
      <x:c r="G11" s="17" t="str"/>
      <x:c r="H11" s="17" t="str"/>
      <x:c r="I11" s="17" t="str">
        <x:v>待筛选</x:v>
      </x:c>
      <x:c r="J11" s="17" t="str">
        <x:v>待联系</x:v>
      </x:c>
      <x:c r="K11" s="17" t="str">
        <x:v>待确认</x:v>
      </x:c>
      <x:c r="L11" s="17" t="str">
        <x:v>待确认</x:v>
      </x:c>
      <x:c r="M11" s="17" t="str">
        <x:v>否</x:v>
      </x:c>
      <x:c r="N11" s="17" t="str"/>
      <x:c r="O11" s="17" t="str"/>
      <x:c r="P11" s="17" t="str">
        <x:v>未完成</x:v>
      </x:c>
      <x:c r="Q11" s="17" t="str">
        <x:v>未完成</x:v>
      </x:c>
      <x:c r="R11" s="17" t="str"/>
      <x:c r="S11" s="17" t="str"/>
      <x:c r="T11" s="17" t="str"/>
    </x:row>
    <x:row r="12" ht="66" customHeight="1">
      <x:c r="A12" s="17" t="str">
        <x:v>CAND-008</x:v>
      </x:c>
      <x:c r="B12" s="17" t="str">
        <x:v>科研人员</x:v>
      </x:c>
      <x:c r="C12" s="17" t="str">
        <x:v>科研配额</x:v>
      </x:c>
      <x:c r="D12" s="17" t="str">
        <x:v>经常精读论文或研究报告</x:v>
      </x:c>
      <x:c r="E12" s="17" t="str">
        <x:v>论文精读、方法比较、综述整理</x:v>
      </x:c>
      <x:c r="F12" s="17" t="str"/>
      <x:c r="G12" s="17" t="str"/>
      <x:c r="H12" s="17" t="str"/>
      <x:c r="I12" s="17" t="str">
        <x:v>待筛选</x:v>
      </x:c>
      <x:c r="J12" s="17" t="str">
        <x:v>待联系</x:v>
      </x:c>
      <x:c r="K12" s="17" t="str">
        <x:v>待确认</x:v>
      </x:c>
      <x:c r="L12" s="17" t="str">
        <x:v>待确认</x:v>
      </x:c>
      <x:c r="M12" s="17" t="str">
        <x:v>否</x:v>
      </x:c>
      <x:c r="N12" s="17" t="str"/>
      <x:c r="O12" s="17" t="str"/>
      <x:c r="P12" s="17" t="str">
        <x:v>未完成</x:v>
      </x:c>
      <x:c r="Q12" s="17" t="str">
        <x:v>未完成</x:v>
      </x:c>
      <x:c r="R12" s="17" t="str"/>
      <x:c r="S12" s="17" t="str"/>
      <x:c r="T12" s="17" t="str"/>
    </x:row>
    <x:row r="13" ht="66" customHeight="1">
      <x:c r="A13" s="17" t="str">
        <x:v>CAND-009</x:v>
      </x:c>
      <x:c r="B13" s="17" t="str">
        <x:v>科研人员</x:v>
      </x:c>
      <x:c r="C13" s="17" t="str">
        <x:v>科研配额</x:v>
      </x:c>
      <x:c r="D13" s="17" t="str">
        <x:v>经常精读论文或研究报告</x:v>
      </x:c>
      <x:c r="E13" s="17" t="str">
        <x:v>论文精读、方法比较、综述整理</x:v>
      </x:c>
      <x:c r="F13" s="17" t="str"/>
      <x:c r="G13" s="17" t="str"/>
      <x:c r="H13" s="17" t="str"/>
      <x:c r="I13" s="17" t="str">
        <x:v>待筛选</x:v>
      </x:c>
      <x:c r="J13" s="17" t="str">
        <x:v>待联系</x:v>
      </x:c>
      <x:c r="K13" s="17" t="str">
        <x:v>待确认</x:v>
      </x:c>
      <x:c r="L13" s="17" t="str">
        <x:v>待确认</x:v>
      </x:c>
      <x:c r="M13" s="17" t="str">
        <x:v>否</x:v>
      </x:c>
      <x:c r="N13" s="17" t="str"/>
      <x:c r="O13" s="17" t="str"/>
      <x:c r="P13" s="17" t="str">
        <x:v>未完成</x:v>
      </x:c>
      <x:c r="Q13" s="17" t="str">
        <x:v>未完成</x:v>
      </x:c>
      <x:c r="R13" s="17" t="str"/>
      <x:c r="S13" s="17" t="str"/>
      <x:c r="T13" s="17" t="str"/>
    </x:row>
    <x:row r="14" ht="66" customHeight="1">
      <x:c r="A14" s="17" t="str">
        <x:v>CAND-010</x:v>
      </x:c>
      <x:c r="B14" s="17" t="str">
        <x:v>科研人员</x:v>
      </x:c>
      <x:c r="C14" s="17" t="str">
        <x:v>科研配额</x:v>
      </x:c>
      <x:c r="D14" s="17" t="str">
        <x:v>经常精读论文或研究报告</x:v>
      </x:c>
      <x:c r="E14" s="17" t="str">
        <x:v>论文精读、方法比较、综述整理</x:v>
      </x:c>
      <x:c r="F14" s="17" t="str"/>
      <x:c r="G14" s="17" t="str"/>
      <x:c r="H14" s="17" t="str"/>
      <x:c r="I14" s="17" t="str">
        <x:v>待筛选</x:v>
      </x:c>
      <x:c r="J14" s="17" t="str">
        <x:v>待联系</x:v>
      </x:c>
      <x:c r="K14" s="17" t="str">
        <x:v>待确认</x:v>
      </x:c>
      <x:c r="L14" s="17" t="str">
        <x:v>待确认</x:v>
      </x:c>
      <x:c r="M14" s="17" t="str">
        <x:v>否</x:v>
      </x:c>
      <x:c r="N14" s="17" t="str"/>
      <x:c r="O14" s="17" t="str"/>
      <x:c r="P14" s="17" t="str">
        <x:v>未完成</x:v>
      </x:c>
      <x:c r="Q14" s="17" t="str">
        <x:v>未完成</x:v>
      </x:c>
      <x:c r="R14" s="17" t="str"/>
      <x:c r="S14" s="17" t="str"/>
      <x:c r="T14" s="17" t="str"/>
    </x:row>
    <x:row r="15" ht="66" customHeight="1">
      <x:c r="A15" s="17" t="str">
        <x:v>CAND-011</x:v>
      </x:c>
      <x:c r="B15" s="17" t="str">
        <x:v>科研人员</x:v>
      </x:c>
      <x:c r="C15" s="17" t="str">
        <x:v>科研配额</x:v>
      </x:c>
      <x:c r="D15" s="17" t="str">
        <x:v>经常精读论文或研究报告</x:v>
      </x:c>
      <x:c r="E15" s="17" t="str">
        <x:v>论文精读、方法比较、综述整理</x:v>
      </x:c>
      <x:c r="F15" s="17" t="str"/>
      <x:c r="G15" s="17" t="str"/>
      <x:c r="H15" s="17" t="str"/>
      <x:c r="I15" s="17" t="str">
        <x:v>待筛选</x:v>
      </x:c>
      <x:c r="J15" s="17" t="str">
        <x:v>待联系</x:v>
      </x:c>
      <x:c r="K15" s="17" t="str">
        <x:v>待确认</x:v>
      </x:c>
      <x:c r="L15" s="17" t="str">
        <x:v>待确认</x:v>
      </x:c>
      <x:c r="M15" s="17" t="str">
        <x:v>否</x:v>
      </x:c>
      <x:c r="N15" s="17" t="str"/>
      <x:c r="O15" s="17" t="str"/>
      <x:c r="P15" s="17" t="str">
        <x:v>未完成</x:v>
      </x:c>
      <x:c r="Q15" s="17" t="str">
        <x:v>未完成</x:v>
      </x:c>
      <x:c r="R15" s="17" t="str"/>
      <x:c r="S15" s="17" t="str"/>
      <x:c r="T15" s="17" t="str"/>
    </x:row>
    <x:row r="16" ht="66" customHeight="1">
      <x:c r="A16" s="17" t="str">
        <x:v>CAND-012</x:v>
      </x:c>
      <x:c r="B16" s="17" t="str">
        <x:v>办公用户</x:v>
      </x:c>
      <x:c r="C16" s="17" t="str">
        <x:v>办公配额</x:v>
      </x:c>
      <x:c r="D16" s="17" t="str">
        <x:v>经常查阅规范、方案或长报告</x:v>
      </x:c>
      <x:c r="E16" s="17" t="str">
        <x:v>条款定位、文档审阅、摘要</x:v>
      </x:c>
      <x:c r="F16" s="17" t="str"/>
      <x:c r="G16" s="17" t="str"/>
      <x:c r="H16" s="17" t="str"/>
      <x:c r="I16" s="17" t="str">
        <x:v>待筛选</x:v>
      </x:c>
      <x:c r="J16" s="17" t="str">
        <x:v>待联系</x:v>
      </x:c>
      <x:c r="K16" s="17" t="str">
        <x:v>待确认</x:v>
      </x:c>
      <x:c r="L16" s="17" t="str">
        <x:v>待确认</x:v>
      </x:c>
      <x:c r="M16" s="17" t="str">
        <x:v>否</x:v>
      </x:c>
      <x:c r="N16" s="17" t="str"/>
      <x:c r="O16" s="17" t="str"/>
      <x:c r="P16" s="17" t="str">
        <x:v>未完成</x:v>
      </x:c>
      <x:c r="Q16" s="17" t="str">
        <x:v>未完成</x:v>
      </x:c>
      <x:c r="R16" s="17" t="str"/>
      <x:c r="S16" s="17" t="str"/>
      <x:c r="T16" s="17" t="str"/>
    </x:row>
    <x:row r="17" ht="66" customHeight="1">
      <x:c r="A17" s="17" t="str">
        <x:v>CAND-013</x:v>
      </x:c>
      <x:c r="B17" s="17" t="str">
        <x:v>办公用户</x:v>
      </x:c>
      <x:c r="C17" s="17" t="str">
        <x:v>办公配额</x:v>
      </x:c>
      <x:c r="D17" s="17" t="str">
        <x:v>经常查阅规范、方案或长报告</x:v>
      </x:c>
      <x:c r="E17" s="17" t="str">
        <x:v>条款定位、文档审阅、摘要</x:v>
      </x:c>
      <x:c r="F17" s="17" t="str"/>
      <x:c r="G17" s="17" t="str"/>
      <x:c r="H17" s="17" t="str"/>
      <x:c r="I17" s="17" t="str">
        <x:v>待筛选</x:v>
      </x:c>
      <x:c r="J17" s="17" t="str">
        <x:v>待联系</x:v>
      </x:c>
      <x:c r="K17" s="17" t="str">
        <x:v>待确认</x:v>
      </x:c>
      <x:c r="L17" s="17" t="str">
        <x:v>待确认</x:v>
      </x:c>
      <x:c r="M17" s="17" t="str">
        <x:v>否</x:v>
      </x:c>
      <x:c r="N17" s="17" t="str"/>
      <x:c r="O17" s="17" t="str"/>
      <x:c r="P17" s="17" t="str">
        <x:v>未完成</x:v>
      </x:c>
      <x:c r="Q17" s="17" t="str">
        <x:v>未完成</x:v>
      </x:c>
      <x:c r="R17" s="17" t="str"/>
      <x:c r="S17" s="17" t="str"/>
      <x:c r="T17" s="17" t="str"/>
    </x:row>
    <x:row r="18" ht="66" customHeight="1">
      <x:c r="A18" s="17" t="str">
        <x:v>CAND-014</x:v>
      </x:c>
      <x:c r="B18" s="17" t="str">
        <x:v>办公用户</x:v>
      </x:c>
      <x:c r="C18" s="17" t="str">
        <x:v>办公配额</x:v>
      </x:c>
      <x:c r="D18" s="17" t="str">
        <x:v>经常查阅规范、方案或长报告</x:v>
      </x:c>
      <x:c r="E18" s="17" t="str">
        <x:v>条款定位、文档审阅、摘要</x:v>
      </x:c>
      <x:c r="F18" s="17" t="str"/>
      <x:c r="G18" s="17" t="str"/>
      <x:c r="H18" s="17" t="str"/>
      <x:c r="I18" s="17" t="str">
        <x:v>待筛选</x:v>
      </x:c>
      <x:c r="J18" s="17" t="str">
        <x:v>待联系</x:v>
      </x:c>
      <x:c r="K18" s="17" t="str">
        <x:v>待确认</x:v>
      </x:c>
      <x:c r="L18" s="17" t="str">
        <x:v>待确认</x:v>
      </x:c>
      <x:c r="M18" s="17" t="str">
        <x:v>否</x:v>
      </x:c>
      <x:c r="N18" s="17" t="str"/>
      <x:c r="O18" s="17" t="str"/>
      <x:c r="P18" s="17" t="str">
        <x:v>未完成</x:v>
      </x:c>
      <x:c r="Q18" s="17" t="str">
        <x:v>未完成</x:v>
      </x:c>
      <x:c r="R18" s="17" t="str"/>
      <x:c r="S18" s="17" t="str"/>
      <x:c r="T18" s="17" t="str"/>
    </x:row>
    <x:row r="19" ht="66" customHeight="1">
      <x:c r="A19" s="17" t="str">
        <x:v>CAND-015</x:v>
      </x:c>
      <x:c r="B19" s="17" t="str">
        <x:v>管理或运维人员</x:v>
      </x:c>
      <x:c r="C19" s="17" t="str">
        <x:v>管理运维配额</x:v>
      </x:c>
      <x:c r="D19" s="17" t="str">
        <x:v>负责权限、系统配置或数据管理</x:v>
      </x:c>
      <x:c r="E19" s="17" t="str">
        <x:v>权限、审计、成本、运维</x:v>
      </x:c>
      <x:c r="F19" s="17" t="str"/>
      <x:c r="G19" s="17" t="str"/>
      <x:c r="H19" s="17" t="str"/>
      <x:c r="I19" s="17" t="str">
        <x:v>待筛选</x:v>
      </x:c>
      <x:c r="J19" s="17" t="str">
        <x:v>待联系</x:v>
      </x:c>
      <x:c r="K19" s="17" t="str">
        <x:v>待确认</x:v>
      </x:c>
      <x:c r="L19" s="17" t="str">
        <x:v>待确认</x:v>
      </x:c>
      <x:c r="M19" s="17" t="str">
        <x:v>否</x:v>
      </x:c>
      <x:c r="N19" s="17" t="str"/>
      <x:c r="O19" s="17" t="str"/>
      <x:c r="P19" s="17" t="str">
        <x:v>未完成</x:v>
      </x:c>
      <x:c r="Q19" s="17" t="str">
        <x:v>未完成</x:v>
      </x:c>
      <x:c r="R19" s="17" t="str"/>
      <x:c r="S19" s="17" t="str"/>
      <x:c r="T19" s="17" t="str"/>
    </x:row>
  </x:sheetData>
  <x:mergeCells>
    <x:mergeCell ref="A1:T1"/>
    <x:mergeCell ref="A2:T2"/>
  </x:mergeCells>
  <x:conditionalFormatting sqref="J5:J104">
    <x:cfRule type="containsText" dxfId="0" priority="1" operator="containsText" text="已确认"/>
  </x:conditionalFormatting>
  <x:conditionalFormatting sqref="I5:I104">
    <x:cfRule type="containsText" dxfId="1" priority="2" operator="containsText" text="不符合"/>
  </x:conditionalFormatting>
  <x:conditionalFormatting sqref="P5:Q104">
    <x:cfRule type="containsText" dxfId="2" priority="3" operator="containsText" text="已完成"/>
  </x:conditionalFormatting>
  <x:dataValidations count="7">
    <x:dataValidation type="list" sqref="B5:B104">
      <x:formula1>"学生,教师,科研人员,办公用户,管理或运维人员"</x:formula1>
    </x:dataValidation>
    <x:dataValidation type="list" sqref="I5:I104">
      <x:formula1>"待筛选,符合,不符合,待补信息"</x:formula1>
    </x:dataValidation>
    <x:dataValidation type="list" sqref="J5:J104">
      <x:formula1>"待联系,已联系,已确认,拒绝,失联"</x:formula1>
    </x:dataValidation>
    <x:dataValidation type="list" sqref="K5:K104">
      <x:formula1>"待确认,同意,不同意"</x:formula1>
    </x:dataValidation>
    <x:dataValidation type="list" sqref="L5:L104">
      <x:formula1>"待确认,同意,不同意"</x:formula1>
    </x:dataValidation>
    <x:dataValidation type="list" sqref="M5:M104">
      <x:formula1>"是,否,待确认"</x:formula1>
    </x:dataValidation>
    <x:dataValidation type="list" sqref="P5:Q104">
      <x:formula1>"未完成,已完成,未参加,待安排"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c846464664ee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调研对象｜配额与覆盖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8" t="str">
        <x:v>本页根据招募执行表自动统计各类用户的计划数、已确认数、访谈完成数和测试完成数。缺口大于 0 时，应优先补招。</x:v>
      </x:c>
      <x:c r="B2" s="8"/>
      <x:c r="C2" s="8"/>
      <x:c r="D2" s="8"/>
      <x:c r="E2" s="8"/>
      <x:c r="F2" s="8"/>
      <x:c r="G2" s="8"/>
      <x:c r="H2" s="8"/>
      <x:c r="I2" s="8"/>
    </x:row>
    <x:row r="4" ht="38" customHeight="1">
      <x:c r="A4" s="14" t="str">
        <x:v>用户类型</x:v>
      </x:c>
      <x:c r="B4" s="14" t="str">
        <x:v>最低访谈数</x:v>
      </x:c>
      <x:c r="C4" s="14" t="str">
        <x:v>建议计划数</x:v>
      </x:c>
      <x:c r="D4" s="14" t="str">
        <x:v>已建候选记录</x:v>
      </x:c>
      <x:c r="E4" s="14" t="str">
        <x:v>已确认</x:v>
      </x:c>
      <x:c r="F4" s="14" t="str">
        <x:v>已完成访谈</x:v>
      </x:c>
      <x:c r="G4" s="14" t="str">
        <x:v>已完成测试</x:v>
      </x:c>
      <x:c r="H4" s="14" t="str">
        <x:v>访谈缺口</x:v>
      </x:c>
      <x:c r="I4" s="14" t="str">
        <x:v>测试缺口</x:v>
      </x:c>
    </x:row>
    <x:row r="5">
      <x:c r="A5" s="17" t="str">
        <x:v>学生</x:v>
      </x:c>
      <x:c r="B5" s="17" t="n">
        <x:v>3</x:v>
      </x:c>
      <x:c r="C5" s="17" t="n">
        <x:v>4</x:v>
      </x:c>
      <x:c r="D5" s="17" t="n">
        <x:f>COUNTIF('招募执行表'!$B$5:$B$104,A5)</x:f>
        <x:v>4</x:v>
      </x:c>
      <x:c r="E5" s="17" t="n">
        <x:f>COUNTIFS('招募执行表'!$B$5:$B$104,A5,'招募执行表'!$J$5:$J$104,"已确认")</x:f>
        <x:v>0</x:v>
      </x:c>
      <x:c r="F5" s="17" t="n">
        <x:f>COUNTIFS('招募执行表'!$B$5:$B$104,A5,'招募执行表'!$P$5:$P$104,"已完成")</x:f>
        <x:v>0</x:v>
      </x:c>
      <x:c r="G5" s="17" t="n">
        <x:f>COUNTIFS('招募执行表'!$B$5:$B$104,A5,'招募执行表'!$Q$5:$Q$104,"已完成")</x:f>
        <x:v>0</x:v>
      </x:c>
      <x:c r="H5" s="17" t="n">
        <x:f>MAX(0,B5-F5)</x:f>
        <x:v>3</x:v>
      </x:c>
      <x:c r="I5" s="17" t="n">
        <x:f>MAX(0,B5-G5)</x:f>
        <x:v>3</x:v>
      </x:c>
    </x:row>
    <x:row r="6">
      <x:c r="A6" s="17" t="str">
        <x:v>教师</x:v>
      </x:c>
      <x:c r="B6" s="17" t="n">
        <x:v>2</x:v>
      </x:c>
      <x:c r="C6" s="17" t="n">
        <x:v>3</x:v>
      </x:c>
      <x:c r="D6" s="17" t="n">
        <x:f>COUNTIF('招募执行表'!$B$5:$B$104,A6)</x:f>
        <x:v>3</x:v>
      </x:c>
      <x:c r="E6" s="17" t="n">
        <x:f>COUNTIFS('招募执行表'!$B$5:$B$104,A6,'招募执行表'!$J$5:$J$104,"已确认")</x:f>
        <x:v>0</x:v>
      </x:c>
      <x:c r="F6" s="17" t="n">
        <x:f>COUNTIFS('招募执行表'!$B$5:$B$104,A6,'招募执行表'!$P$5:$P$104,"已完成")</x:f>
        <x:v>0</x:v>
      </x:c>
      <x:c r="G6" s="17" t="n">
        <x:f>COUNTIFS('招募执行表'!$B$5:$B$104,A6,'招募执行表'!$Q$5:$Q$104,"已完成")</x:f>
        <x:v>0</x:v>
      </x:c>
      <x:c r="H6" s="17" t="n">
        <x:f>MAX(0,B6-F6)</x:f>
        <x:v>2</x:v>
      </x:c>
      <x:c r="I6" s="17" t="n">
        <x:f>MAX(0,B6-G6)</x:f>
        <x:v>2</x:v>
      </x:c>
    </x:row>
    <x:row r="7">
      <x:c r="A7" s="17" t="str">
        <x:v>科研人员</x:v>
      </x:c>
      <x:c r="B7" s="17" t="n">
        <x:v>3</x:v>
      </x:c>
      <x:c r="C7" s="17" t="n">
        <x:v>4</x:v>
      </x:c>
      <x:c r="D7" s="17" t="n">
        <x:f>COUNTIF('招募执行表'!$B$5:$B$104,A7)</x:f>
        <x:v>4</x:v>
      </x:c>
      <x:c r="E7" s="17" t="n">
        <x:f>COUNTIFS('招募执行表'!$B$5:$B$104,A7,'招募执行表'!$J$5:$J$104,"已确认")</x:f>
        <x:v>0</x:v>
      </x:c>
      <x:c r="F7" s="17" t="n">
        <x:f>COUNTIFS('招募执行表'!$B$5:$B$104,A7,'招募执行表'!$P$5:$P$104,"已完成")</x:f>
        <x:v>0</x:v>
      </x:c>
      <x:c r="G7" s="17" t="n">
        <x:f>COUNTIFS('招募执行表'!$B$5:$B$104,A7,'招募执行表'!$Q$5:$Q$104,"已完成")</x:f>
        <x:v>0</x:v>
      </x:c>
      <x:c r="H7" s="17" t="n">
        <x:f>MAX(0,B7-F7)</x:f>
        <x:v>3</x:v>
      </x:c>
      <x:c r="I7" s="17" t="n">
        <x:f>MAX(0,B7-G7)</x:f>
        <x:v>3</x:v>
      </x:c>
    </x:row>
    <x:row r="8">
      <x:c r="A8" s="17" t="str">
        <x:v>办公用户</x:v>
      </x:c>
      <x:c r="B8" s="17" t="n">
        <x:v>3</x:v>
      </x:c>
      <x:c r="C8" s="17" t="n">
        <x:v>3</x:v>
      </x:c>
      <x:c r="D8" s="17" t="n">
        <x:f>COUNTIF('招募执行表'!$B$5:$B$104,A8)</x:f>
        <x:v>3</x:v>
      </x:c>
      <x:c r="E8" s="17" t="n">
        <x:f>COUNTIFS('招募执行表'!$B$5:$B$104,A8,'招募执行表'!$J$5:$J$104,"已确认")</x:f>
        <x:v>0</x:v>
      </x:c>
      <x:c r="F8" s="17" t="n">
        <x:f>COUNTIFS('招募执行表'!$B$5:$B$104,A8,'招募执行表'!$P$5:$P$104,"已完成")</x:f>
        <x:v>0</x:v>
      </x:c>
      <x:c r="G8" s="17" t="n">
        <x:f>COUNTIFS('招募执行表'!$B$5:$B$104,A8,'招募执行表'!$Q$5:$Q$104,"已完成")</x:f>
        <x:v>0</x:v>
      </x:c>
      <x:c r="H8" s="17" t="n">
        <x:f>MAX(0,B8-F8)</x:f>
        <x:v>3</x:v>
      </x:c>
      <x:c r="I8" s="17" t="n">
        <x:f>MAX(0,B8-G8)</x:f>
        <x:v>3</x:v>
      </x:c>
    </x:row>
    <x:row r="9">
      <x:c r="A9" s="17" t="str">
        <x:v>管理或运维人员</x:v>
      </x:c>
      <x:c r="B9" s="17" t="n">
        <x:v>1</x:v>
      </x:c>
      <x:c r="C9" s="17" t="n">
        <x:v>1</x:v>
      </x:c>
      <x:c r="D9" s="17" t="n">
        <x:f>COUNTIF('招募执行表'!$B$5:$B$104,A9)</x:f>
        <x:v>1</x:v>
      </x:c>
      <x:c r="E9" s="17" t="n">
        <x:f>COUNTIFS('招募执行表'!$B$5:$B$104,A9,'招募执行表'!$J$5:$J$104,"已确认")</x:f>
        <x:v>0</x:v>
      </x:c>
      <x:c r="F9" s="17" t="n">
        <x:f>COUNTIFS('招募执行表'!$B$5:$B$104,A9,'招募执行表'!$P$5:$P$104,"已完成")</x:f>
        <x:v>0</x:v>
      </x:c>
      <x:c r="G9" s="17" t="n">
        <x:f>COUNTIFS('招募执行表'!$B$5:$B$104,A9,'招募执行表'!$Q$5:$Q$104,"已完成")</x:f>
        <x:v>0</x:v>
      </x:c>
      <x:c r="H9" s="17" t="n">
        <x:f>MAX(0,B9-F9)</x:f>
        <x:v>1</x:v>
      </x:c>
      <x:c r="I9" s="17" t="n">
        <x:f>MAX(0,B9-G9)</x:f>
        <x:v>1</x:v>
      </x:c>
    </x:row>
    <x:row r="11" ht="38" customHeight="1">
      <x:c r="A11" s="14" t="str">
        <x:v>总体指标</x:v>
      </x:c>
      <x:c r="B11" s="14" t="str">
        <x:v>数值</x:v>
      </x:c>
    </x:row>
    <x:row r="12">
      <x:c r="A12" s="17" t="str">
        <x:v>最低访谈总数</x:v>
      </x:c>
      <x:c r="B12" s="17" t="n">
        <x:f>SUM(B5:B9)</x:f>
        <x:v>12</x:v>
      </x:c>
    </x:row>
    <x:row r="13">
      <x:c r="A13" s="17" t="str">
        <x:v>已完成访谈总数</x:v>
      </x:c>
      <x:c r="B13" s="17" t="n">
        <x:f>SUM(F5:F9)</x:f>
        <x:v>0</x:v>
      </x:c>
    </x:row>
    <x:row r="14">
      <x:c r="A14" s="17" t="str">
        <x:v>最低测试总数</x:v>
      </x:c>
      <x:c r="B14" s="17" t="n">
        <x:f>6</x:f>
        <x:v>6</x:v>
      </x:c>
    </x:row>
    <x:row r="15">
      <x:c r="A15" s="17" t="str">
        <x:v>已完成测试总数</x:v>
      </x:c>
      <x:c r="B15" s="17" t="n">
        <x:f>SUM(G5:G9)</x:f>
        <x:v>0</x:v>
      </x:c>
    </x:row>
  </x:sheetData>
  <x:mergeCells>
    <x:mergeCell ref="A1:I1"/>
    <x:mergeCell ref="A2:I2"/>
  </x:mergeCells>
  <x:conditionalFormatting sqref="H5:I9">
    <x:cfRule type="cellIs" dxfId="3" priority="1" operator="greaterThan">
      <x:formula>0</x:formula>
    </x:cfRule>
  </x:conditionalFormatting>
  <x:conditionalFormatting sqref="F5:G9">
    <x:cfRule type="cellIs" dxfId="4" priority="2" operator="greaterThanOrEqual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32" hidden="0" customWidth="1"/>
    <x:col min="4" max="4" width="42" hidden="0" customWidth="1"/>
  </x:cols>
  <x:sheetData>
    <x:row r="1" ht="30" customHeight="1">
      <x:c r="A1" s="4" t="str">
        <x:v>调研对象招募表｜填写说明</x:v>
      </x:c>
      <x:c r="B1" s="4"/>
      <x:c r="C1" s="4"/>
      <x:c r="D1" s="4"/>
    </x:row>
    <x:row r="2" ht="36" customHeight="1">
      <x:c r="A2" s="8" t="str">
        <x:v>本页用于统一填写口径，避免把推测当作调研事实。</x:v>
      </x:c>
      <x:c r="B2" s="8"/>
      <x:c r="C2" s="8"/>
      <x:c r="D2" s="8"/>
    </x:row>
    <x:row r="4" ht="38" customHeight="1">
      <x:c r="A4" s="14" t="str">
        <x:v>字段/规则</x:v>
      </x:c>
      <x:c r="B4" s="14" t="str">
        <x:v>填写要求</x:v>
      </x:c>
      <x:c r="C4" s="14" t="str">
        <x:v>示例或选项</x:v>
      </x:c>
      <x:c r="D4" s="14" t="str">
        <x:v>注意事项</x:v>
      </x:c>
    </x:row>
    <x:row r="5" ht="42" customHeight="1">
      <x:c r="A5" s="17" t="str">
        <x:v>候选人编号</x:v>
      </x:c>
      <x:c r="B5" s="17" t="str">
        <x:v>使用 CAND-001 等编号，不在共享表中直接出现真实姓名和联系方式。</x:v>
      </x:c>
      <x:c r="C5" s="17" t="str">
        <x:v>CAND-001</x:v>
      </x:c>
      <x:c r="D5" s="17" t="str">
        <x:v>联系方式放在受控位置，并在“联系方式存放位置”记录路径或权限说明。</x:v>
      </x:c>
    </x:row>
    <x:row r="6" ht="42" customHeight="1">
      <x:c r="A6" s="17" t="str">
        <x:v>用户类型</x:v>
      </x:c>
      <x:c r="B6" s="17" t="str">
        <x:v>按主要阅读场景归类；同一人有多个身份时，在备注说明次要身份。</x:v>
      </x:c>
      <x:c r="C6" s="17" t="str">
        <x:v>学生 / 教师 / 科研人员 / 办公用户 / 管理或运维人员</x:v>
      </x:c>
      <x:c r="D6" s="17" t="str">
        <x:v>配额页按该字段统计，修改分类会改变覆盖统计。</x:v>
      </x:c>
    </x:row>
    <x:row r="7" ht="42" customHeight="1">
      <x:c r="A7" s="17" t="str">
        <x:v>符合招募条件</x:v>
      </x:c>
      <x:c r="B7" s="17" t="str">
        <x:v>根据筛选条件和实际回答填写；待补信息表示不能直接判断。</x:v>
      </x:c>
      <x:c r="C7" s="17" t="str">
        <x:v>符合 / 不符合 / 待补信息</x:v>
      </x:c>
      <x:c r="D7" s="17" t="str">
        <x:v>不要因为候选人愿意参加就标记为符合。</x:v>
      </x:c>
    </x:row>
    <x:row r="8" ht="42" customHeight="1">
      <x:c r="A8" s="17" t="str">
        <x:v>同意项</x:v>
      </x:c>
      <x:c r="B8" s="17" t="str">
        <x:v>访谈记录、原型测试和文档样本授权分别确认，不能用一次同意替代全部。</x:v>
      </x:c>
      <x:c r="C8" s="17" t="str">
        <x:v>待确认 / 同意 / 不同意</x:v>
      </x:c>
      <x:c r="D8" s="17" t="str">
        <x:v>未经同意不得录音、截图或收集真实文档。</x:v>
      </x:c>
    </x:row>
    <x:row r="9" ht="42" customHeight="1">
      <x:c r="A9" s="17" t="str">
        <x:v>联系方式</x:v>
      </x:c>
      <x:c r="B9" s="17" t="str">
        <x:v>仅记录受控存放位置，不把手机号、邮箱或聊天账号放入共享表。</x:v>
      </x:c>
      <x:c r="C9" s="17" t="str">
        <x:v>项目组受控表单 / 负责人私有记录</x:v>
      </x:c>
      <x:c r="D9" s="17" t="str">
        <x:v>报告和 PPT 只使用候选人编号。</x:v>
      </x:c>
    </x:row>
    <x:row r="10" ht="42" customHeight="1">
      <x:c r="A10" s="17" t="str">
        <x:v>访谈/测试完成状态</x:v>
      </x:c>
      <x:c r="B10" s="17" t="str">
        <x:v>活动结束并完成记录归档后才标记为已完成。</x:v>
      </x:c>
      <x:c r="C10" s="17" t="str">
        <x:v>未完成 / 已完成 / 未参加 / 待安排</x:v>
      </x:c>
      <x:c r="D10" s="17" t="str">
        <x:v>只预约未执行不能算已完成。</x:v>
      </x:c>
    </x:row>
    <x:row r="11" ht="42" customHeight="1">
      <x:c r="A11" s="17" t="str">
        <x:v>经授权文档样本</x:v>
      </x:c>
      <x:c r="B11" s="17" t="str">
        <x:v>只有明确授权并记录来源、用途、删除时间的材料才填写“是”。</x:v>
      </x:c>
      <x:c r="C11" s="17" t="str">
        <x:v>是 / 否 / 待确认</x:v>
      </x:c>
      <x:c r="D11" s="17" t="str">
        <x:v>未经授权的真实业务文件不得用于演示或测试。</x:v>
      </x:c>
    </x:row>
    <x:row r="12" ht="42" customHeight="1">
      <x:c r="A12" s="17" t="str">
        <x:v>配额页</x:v>
      </x:c>
      <x:c r="B12" s="17" t="str">
        <x:v>重点查看已完成访谈、已完成测试和缺口列；缺口大于 0 时补招。</x:v>
      </x:c>
      <x:c r="C12" s="17" t="str">
        <x:v>访谈最低 12 人，原型测试至少 6 人</x:v>
      </x:c>
      <x:c r="D12" s="17" t="str">
        <x:v>配额是最低覆盖要求，不代表可以忽略用户类型分布。</x:v>
      </x:c>
    </x:row>
  </x:sheetData>
  <x:mergeCells>
    <x:mergeCell ref="A1:D1"/>
    <x:mergeCell ref="A2:D2"/>
  </x:mergeCells>
  <x:pageMargins left="0.7" right="0.7" top="0.75" bottom="0.75" header="0.3" footer="0.3"/>
</x:worksheet>
</file>